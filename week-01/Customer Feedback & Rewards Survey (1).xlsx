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E365E4CC-16C6-4D12-AF6A-9AD2918F8B34}" xr6:coauthVersionLast="47" xr6:coauthVersionMax="47" xr10:uidLastSave="{00000000-0000-0000-0000-000000000000}"/>
  <bookViews>
    <workbookView xWindow="0" yWindow="0" windowWidth="28800" windowHeight="1390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8"/>
  <pivotCaches>
    <pivotCache cacheId="19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<sst xmlns="http://schemas.openxmlformats.org/spreadsheetml/2006/main" count="116" uniqueCount="74">
  <si>
    <t>Id</t>
  </si>
  <si>
    <t>Start time</t>
  </si>
  <si>
    <t>Completion time</t>
  </si>
  <si>
    <t>Time to complete</t>
  </si>
  <si>
    <t>Email</t>
  </si>
  <si>
    <t>Name</t>
  </si>
  <si>
    <t>How often do you visit us?</t>
  </si>
  <si>
    <t>What did you enjoy the most?</t>
  </si>
  <si>
    <t>What can we improve?</t>
  </si>
  <si>
    <t>What do you usually order?</t>
  </si>
  <si>
    <t>How likely are you to return?</t>
  </si>
  <si>
    <t xml:space="preserve">How would you rate your overall experience?
</t>
  </si>
  <si>
    <t>Would you join a loyalty program?</t>
  </si>
  <si>
    <t>What rewards would you prefer?</t>
  </si>
  <si>
    <t>How would you like to receive rewards?</t>
  </si>
  <si>
    <t>Enter your email for rewards updates.</t>
  </si>
  <si>
    <t>pgreen-holloway@my.yearupunited.org</t>
  </si>
  <si>
    <t>patrick green-holloway</t>
  </si>
  <si>
    <t>Weekly</t>
  </si>
  <si>
    <t>The Cupcakes</t>
  </si>
  <si>
    <t>Wait times</t>
  </si>
  <si>
    <t>Food</t>
  </si>
  <si>
    <t>Likely</t>
  </si>
  <si>
    <t>Excellent</t>
  </si>
  <si>
    <t>Yes</t>
  </si>
  <si>
    <t>Discount</t>
  </si>
  <si>
    <t>gitcommit@gitbash.org</t>
  </si>
  <si>
    <t>jlopez7@my.yearupunited.org</t>
  </si>
  <si>
    <t>jonathan lopez</t>
  </si>
  <si>
    <t>Daily</t>
  </si>
  <si>
    <t>the burgers</t>
  </si>
  <si>
    <t>food prices</t>
  </si>
  <si>
    <t>Both</t>
  </si>
  <si>
    <t>Average</t>
  </si>
  <si>
    <t>Maybe</t>
  </si>
  <si>
    <t>App</t>
  </si>
  <si>
    <t>drteamshouldawonthisyear@omg.com</t>
  </si>
  <si>
    <t>dkabakibi@my.yearupunited.org</t>
  </si>
  <si>
    <t>dania kabakibi</t>
  </si>
  <si>
    <t>The clean and comfortable place</t>
  </si>
  <si>
    <t>Add discounts for groups of 4 or more</t>
  </si>
  <si>
    <t>Very likely</t>
  </si>
  <si>
    <t>points system</t>
  </si>
  <si>
    <t>mblack@my.yearupunited.org</t>
  </si>
  <si>
    <t>maia black</t>
  </si>
  <si>
    <t>First time</t>
  </si>
  <si>
    <t xml:space="preserve">I enjoyed the drinks. I can't remember the name of what I ordered, but it was amazing. </t>
  </si>
  <si>
    <t>Drink</t>
  </si>
  <si>
    <t>ktyler@my.yearupunited.org</t>
  </si>
  <si>
    <t>kendra tyler</t>
  </si>
  <si>
    <t xml:space="preserve">The food </t>
  </si>
  <si>
    <t xml:space="preserve">The wait time </t>
  </si>
  <si>
    <t>phone</t>
  </si>
  <si>
    <t>dnji@my.yearupunited.org</t>
  </si>
  <si>
    <t xml:space="preserve">The Food </t>
  </si>
  <si>
    <t>The Menu Options</t>
  </si>
  <si>
    <t>No</t>
  </si>
  <si>
    <t>=SUM(
COUNTIF([K2], “ likely”</t>
  </si>
  <si>
    <t>Explanation of the first three columns:</t>
  </si>
  <si>
    <r>
      <t>ID:</t>
    </r>
    <r>
      <rPr>
        <sz val="11"/>
        <color theme="1"/>
        <rFont val="Calibri"/>
        <family val="2"/>
        <scheme val="minor"/>
      </rPr>
      <t xml:space="preserve"> A unique number assigned to each response (1, 2, 3, etc.).</t>
    </r>
  </si>
  <si>
    <r>
      <t>Start time:</t>
    </r>
    <r>
      <rPr>
        <sz val="11"/>
        <color theme="1"/>
        <rFont val="Calibri"/>
        <family val="2"/>
        <scheme val="minor"/>
      </rPr>
      <t xml:space="preserve"> The exact date and time when the person began the survey.</t>
    </r>
  </si>
  <si>
    <r>
      <t>Completion time:</t>
    </r>
    <r>
      <rPr>
        <sz val="11"/>
        <color theme="1"/>
        <rFont val="Calibri"/>
        <family val="2"/>
        <scheme val="minor"/>
      </rPr>
      <t xml:space="preserve"> The date and time when the person submitted/finished the survey.</t>
    </r>
  </si>
  <si>
    <t>Why the “ID” column is included:</t>
  </si>
  <si>
    <t>It helps uniquely identify each response.</t>
  </si>
  <si>
    <t>Makes it easier to track, sort, and reference specific entries without confusion.</t>
  </si>
  <si>
    <t>Useful for data analysis (no duplicates, easy organization).</t>
  </si>
  <si>
    <t>Sum of Id</t>
  </si>
  <si>
    <t>dania kabakibi Total</t>
  </si>
  <si>
    <t>dnji@my.yearupunited.org Total</t>
  </si>
  <si>
    <t>jonathan lopez Total</t>
  </si>
  <si>
    <t>kendra tyler Total</t>
  </si>
  <si>
    <t>maia black Total</t>
  </si>
  <si>
    <t>patrick green-holloway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</si>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</sst>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22" fontId="0" fillId="0" borderId="0" xfId="0" applyNumberFormat="1"/>
    <xf numFmtId="0" fontId="1" fillId="0" borderId="0" xfId="0" applyFont="1"/>
    <xf numFmtId="49" fontId="2" fillId="0" borderId="0" xfId="0" applyNumberFormat="1" applyFont="1" applyAlignment="1">
      <alignment wrapText="1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z val="10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Feedback &amp; Rewards Survey.xlsx]Sheet3!PivotTable1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'Id' by 'Name' and 'How likely are you to return?'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Sheet3!$A$3:$B$15</c:f>
              <c:multiLvlStrCache>
                <c:ptCount val="6"/>
                <c:lvl>
                  <c:pt idx="0">
                    <c:v>Very likely</c:v>
                  </c:pt>
                  <c:pt idx="1">
                    <c:v>Likely</c:v>
                  </c:pt>
                  <c:pt idx="2">
                    <c:v>Likely</c:v>
                  </c:pt>
                  <c:pt idx="3">
                    <c:v>Very likely</c:v>
                  </c:pt>
                  <c:pt idx="4">
                    <c:v>Very likely</c:v>
                  </c:pt>
                  <c:pt idx="5">
                    <c:v>Likely</c:v>
                  </c:pt>
                </c:lvl>
                <c:lvl>
                  <c:pt idx="0">
                    <c:v>dania kabakibi</c:v>
                  </c:pt>
                  <c:pt idx="1">
                    <c:v>dnji@my.yearupunited.org</c:v>
                  </c:pt>
                  <c:pt idx="2">
                    <c:v>jonathan lopez</c:v>
                  </c:pt>
                  <c:pt idx="3">
                    <c:v>kendra tyler</c:v>
                  </c:pt>
                  <c:pt idx="4">
                    <c:v>maia black</c:v>
                  </c:pt>
                  <c:pt idx="5">
                    <c:v>patrick green-holloway</c:v>
                  </c:pt>
                </c:lvl>
              </c:multiLvlStrCache>
            </c:multiLvlStrRef>
          </c:cat>
          <c:val>
            <c:numRef>
              <c:f>Sheet3!$C$3:$C$15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7E-4708-9A9F-4BAC658DA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39626247"/>
        <c:axId val="1095052807"/>
      </c:barChart>
      <c:catAx>
        <c:axId val="839626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52807"/>
        <c:crosses val="autoZero"/>
        <c:auto val="1"/>
        <c:lblAlgn val="ctr"/>
        <c:lblOffset val="100"/>
        <c:noMultiLvlLbl val="0"/>
      </c:catAx>
      <c:valAx>
        <c:axId val="109505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626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Feedback &amp; Rewards Survey.xlsx]Sheet3!PivotTable1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'Id' by 'Name' and 'How likely are you to return?'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Sheet3!$A$3:$B$15</c:f>
              <c:multiLvlStrCache>
                <c:ptCount val="6"/>
                <c:lvl>
                  <c:pt idx="0">
                    <c:v>Very likely</c:v>
                  </c:pt>
                  <c:pt idx="1">
                    <c:v>Likely</c:v>
                  </c:pt>
                  <c:pt idx="2">
                    <c:v>Likely</c:v>
                  </c:pt>
                  <c:pt idx="3">
                    <c:v>Very likely</c:v>
                  </c:pt>
                  <c:pt idx="4">
                    <c:v>Very likely</c:v>
                  </c:pt>
                  <c:pt idx="5">
                    <c:v>Likely</c:v>
                  </c:pt>
                </c:lvl>
                <c:lvl>
                  <c:pt idx="0">
                    <c:v>dania kabakibi</c:v>
                  </c:pt>
                  <c:pt idx="1">
                    <c:v>dnji@my.yearupunited.org</c:v>
                  </c:pt>
                  <c:pt idx="2">
                    <c:v>jonathan lopez</c:v>
                  </c:pt>
                  <c:pt idx="3">
                    <c:v>kendra tyler</c:v>
                  </c:pt>
                  <c:pt idx="4">
                    <c:v>maia black</c:v>
                  </c:pt>
                  <c:pt idx="5">
                    <c:v>patrick green-holloway</c:v>
                  </c:pt>
                </c:lvl>
              </c:multiLvlStrCache>
            </c:multiLvlStrRef>
          </c:cat>
          <c:val>
            <c:numRef>
              <c:f>Sheet3!$C$3:$C$15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E-476B-AE1F-8353862DE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4" name="Chart 3" descr="Chart type: Clustered Column. 'Id' by 'Name' and 'How likely are you to return?'&#10;&#10;Description automatically generated">
          <a:extLst>
            <a:ext uri="{FF2B5EF4-FFF2-40B4-BE49-F238E27FC236}">
              <a16:creationId xmlns:a16="http://schemas.microsoft.com/office/drawing/2014/main" id="{209F0B9E-84D4-B49B-EC12-085F1F9C0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5" name="Chart 4" descr="Chart type: Doughnut. 'Id' by 'Name' and 'How likely are you to return?'&#10;&#10;Description automatically generated">
          <a:extLst>
            <a:ext uri="{FF2B5EF4-FFF2-40B4-BE49-F238E27FC236}">
              <a16:creationId xmlns:a16="http://schemas.microsoft.com/office/drawing/2014/main" id="{210C9AE7-3F50-0E72-B3D8-506B2ECF2BF8}"/>
            </a:ext>
            <a:ext uri="{147F2762-F138-4A5C-976F-8EAC2B608ADB}">
              <a16:predDERef xmlns:a16="http://schemas.microsoft.com/office/drawing/2014/main" pred="{209F0B9E-84D4-B49B-EC12-085F1F9C0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3.566526388888" createdVersion="8" refreshedVersion="8" minRefreshableVersion="3" recordCount="6" xr:uid="{CC157CE4-A663-4B2C-AF45-22117864C5F3}">
  <cacheSource type="worksheet">
    <worksheetSource name="OfficeForms.Table"/>
  </cacheSource>
  <cacheFields count="16">
    <cacheField name="Id" numFmtId="0">
      <sharedItems containsSemiMixedTypes="0" containsString="0" containsNumber="1" containsInteger="1" minValue="1" maxValue="6"/>
    </cacheField>
    <cacheField name="Start time" numFmtId="164">
      <sharedItems containsSemiMixedTypes="0" containsNonDate="0" containsDate="1" containsString="0" minDate="2026-04-09T09:02:12" maxDate="2026-04-10T09:26:11"/>
    </cacheField>
    <cacheField name="Completion time" numFmtId="22">
      <sharedItems containsSemiMixedTypes="0" containsNonDate="0" containsDate="1" containsString="0" minDate="2026-04-09T09:03:21" maxDate="2026-04-10T09:28:09"/>
    </cacheField>
    <cacheField name="Time to complete" numFmtId="22">
      <sharedItems containsSemiMixedTypes="0" containsNonDate="0" containsDate="1" containsString="0" minDate="1899-12-30T00:00:50" maxDate="1899-12-30T00:03:06"/>
    </cacheField>
    <cacheField name="Email" numFmtId="0">
      <sharedItems/>
    </cacheField>
    <cacheField name="Name" numFmtId="0">
      <sharedItems count="6">
        <s v="patrick green-holloway"/>
        <s v="jonathan lopez"/>
        <s v="dania kabakibi"/>
        <s v="maia black"/>
        <s v="kendra tyler"/>
        <s v="dnji@my.yearupunited.org"/>
      </sharedItems>
    </cacheField>
    <cacheField name="How often do you visit us?" numFmtId="0">
      <sharedItems count="3">
        <s v="Weekly"/>
        <s v="Daily"/>
        <s v="First time"/>
      </sharedItems>
    </cacheField>
    <cacheField name="What did you enjoy the most?" numFmtId="0">
      <sharedItems/>
    </cacheField>
    <cacheField name="What can we improve?" numFmtId="0">
      <sharedItems containsBlank="1"/>
    </cacheField>
    <cacheField name="What do you usually order?" numFmtId="0">
      <sharedItems/>
    </cacheField>
    <cacheField name="How likely are you to return?" numFmtId="0">
      <sharedItems count="2">
        <s v="Likely"/>
        <s v="Very likely"/>
      </sharedItems>
    </cacheField>
    <cacheField name="How would you rate your overall experience?_x000a_" numFmtId="0">
      <sharedItems/>
    </cacheField>
    <cacheField name="Would you join a loyalty program?" numFmtId="0">
      <sharedItems/>
    </cacheField>
    <cacheField name="What rewards would you prefer?" numFmtId="0">
      <sharedItems/>
    </cacheField>
    <cacheField name="How would you like to receive rewards?" numFmtId="0">
      <sharedItems/>
    </cacheField>
    <cacheField name="Enter your email for rewards updates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d v="2026-04-09T09:02:12"/>
    <d v="2026-04-09T09:03:21"/>
    <d v="1899-12-30T00:01:09"/>
    <s v="pgreen-holloway@my.yearupunited.org"/>
    <x v="0"/>
    <x v="0"/>
    <s v="The Cupcakes"/>
    <s v="Wait times"/>
    <s v="Food"/>
    <x v="0"/>
    <s v="Excellent"/>
    <s v="Yes"/>
    <s v="Discount"/>
    <s v="Email"/>
    <s v="gitcommit@gitbash.org"/>
  </r>
  <r>
    <n v="2"/>
    <d v="2026-04-09T09:23:31"/>
    <d v="2026-04-09T09:25:33"/>
    <d v="1899-12-30T00:02:02"/>
    <s v="jlopez7@my.yearupunited.org"/>
    <x v="1"/>
    <x v="1"/>
    <s v="the burgers"/>
    <s v="food prices"/>
    <s v="Both"/>
    <x v="0"/>
    <s v="Average"/>
    <s v="Maybe"/>
    <s v="Discount"/>
    <s v="App"/>
    <s v="drteamshouldawonthisyear@omg.com"/>
  </r>
  <r>
    <n v="3"/>
    <d v="2026-04-09T09:37:18"/>
    <d v="2026-04-09T09:40:24"/>
    <d v="1899-12-30T00:03:06"/>
    <s v="dkabakibi@my.yearupunited.org"/>
    <x v="2"/>
    <x v="0"/>
    <s v="The clean and comfortable place"/>
    <s v="Add discounts for groups of 4 or more"/>
    <s v="Both"/>
    <x v="1"/>
    <s v="Excellent"/>
    <s v="Yes"/>
    <s v="points system"/>
    <s v="App"/>
    <s v="dkabakibi@my.yearupunited.org"/>
  </r>
  <r>
    <n v="4"/>
    <d v="2026-04-09T09:55:22"/>
    <d v="2026-04-09T09:56:12"/>
    <d v="1899-12-30T00:00:50"/>
    <s v="mblack@my.yearupunited.org"/>
    <x v="3"/>
    <x v="2"/>
    <s v="I enjoyed the drinks. I can't remember the name of what I ordered, but it was amazing. "/>
    <m/>
    <s v="Drink"/>
    <x v="1"/>
    <s v="Excellent"/>
    <s v="Yes"/>
    <s v="points system"/>
    <s v="App"/>
    <m/>
  </r>
  <r>
    <n v="5"/>
    <d v="2026-04-09T22:51:16"/>
    <d v="2026-04-09T22:52:37"/>
    <d v="1899-12-30T00:01:21"/>
    <s v="ktyler@my.yearupunited.org"/>
    <x v="4"/>
    <x v="0"/>
    <s v="The food "/>
    <s v="The wait time "/>
    <s v="Food"/>
    <x v="1"/>
    <s v="Excellent"/>
    <s v="Yes"/>
    <s v="Discount"/>
    <s v="phone"/>
    <s v="ktyler@my.yearupunited.org"/>
  </r>
  <r>
    <n v="6"/>
    <d v="2026-04-10T09:26:11"/>
    <d v="2026-04-10T09:28:09"/>
    <d v="1899-12-30T00:01:58"/>
    <s v="dnji@my.yearupunited.org"/>
    <x v="5"/>
    <x v="1"/>
    <s v="The food "/>
    <s v="The Menu Options"/>
    <s v="Both"/>
    <x v="0"/>
    <s v="Excellent"/>
    <s v="No"/>
    <s v="points system"/>
    <s v="App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7EB1B-0512-4F6F-B00D-97C4FFC38325}" name="PivotTable1" cacheId="19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2:C15" firstHeaderRow="1" firstDataRow="1" firstDataCol="2"/>
  <pivotFields count="16">
    <pivotField dataField="1" compact="0" outline="0" showAll="0"/>
    <pivotField compact="0" numFmtId="164" outline="0" showAll="0"/>
    <pivotField compact="0" numFmtId="22" outline="0" showAll="0"/>
    <pivotField compact="0" numFmtId="22" outline="0" showAll="0"/>
    <pivotField compact="0" outline="0" showAll="0"/>
    <pivotField axis="axisRow" compact="0" outline="0" showAll="0">
      <items count="7">
        <item x="2"/>
        <item x="5"/>
        <item x="1"/>
        <item x="4"/>
        <item x="3"/>
        <item x="0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10"/>
  </rowFields>
  <rowItems count="13">
    <i>
      <x/>
      <x v="1"/>
    </i>
    <i t="default">
      <x/>
    </i>
    <i>
      <x v="1"/>
      <x/>
    </i>
    <i t="default">
      <x v="1"/>
    </i>
    <i>
      <x v="2"/>
      <x/>
    </i>
    <i t="default">
      <x v="2"/>
    </i>
    <i>
      <x v="3"/>
      <x v="1"/>
    </i>
    <i t="default">
      <x v="3"/>
    </i>
    <i>
      <x v="4"/>
      <x v="1"/>
    </i>
    <i t="default">
      <x v="4"/>
    </i>
    <i>
      <x v="5"/>
      <x/>
    </i>
    <i t="default">
      <x v="5"/>
    </i>
    <i t="grand">
      <x/>
    </i>
  </rowItems>
  <colItems count="1">
    <i/>
  </colItems>
  <dataFields count="1">
    <dataField name="Sum of Id" fld="0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P8" totalsRowCount="1">
  <autoFilter ref="A1:P7" xr:uid="{00000000-0009-0000-0100-000001000000}"/>
  <tableColumns count="16">
    <tableColumn id="1" xr3:uid="{00000000-0010-0000-0000-000001000000}" name="Id" dataDxfId="30" totalsRowDxfId="3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8" totalsRowDxfId="2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6" totalsRowDxfId="27">
      <extLst>
        <ext xmlns:xlmsforms="http://schemas.microsoft.com/office/spreadsheetml/2023/msForms" uri="{FCC71383-01E1-4257-9335-427F07BE8D7F}">
          <xlmsforms:question id="submitDate"/>
        </ext>
      </extLst>
    </tableColumn>
    <tableColumn id="16" xr3:uid="{0CF0DB22-6D85-4A9D-A83D-53F04B9CBAA6}" name="Time to complete" totalsRowFunction="custom" dataDxfId="24" totalsRowDxfId="25">
      <calculatedColumnFormula>C2-B2</calculatedColumnFormula>
      <totalsRowFormula>AVERAGE(D2,D7)</totalsRowFormula>
    </tableColumn>
    <tableColumn id="4" xr3:uid="{00000000-0010-0000-0000-000004000000}" name="Email" dataDxfId="22" totalsRowDxfId="2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 totalsRowDxfId="2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us?" dataDxfId="18" totalsRowDxfId="19">
      <extLst>
        <ext xmlns:xlmsforms="http://schemas.microsoft.com/office/spreadsheetml/2023/msForms" uri="{FCC71383-01E1-4257-9335-427F07BE8D7F}">
          <xlmsforms:question id="r35a75158adba4bfbb81015716e2ab786"/>
        </ext>
      </extLst>
    </tableColumn>
    <tableColumn id="7" xr3:uid="{00000000-0010-0000-0000-000007000000}" name="What did you enjoy the most?" dataDxfId="16" totalsRowDxfId="17">
      <extLst>
        <ext xmlns:xlmsforms="http://schemas.microsoft.com/office/spreadsheetml/2023/msForms" uri="{FCC71383-01E1-4257-9335-427F07BE8D7F}">
          <xlmsforms:question id="r0540b0f77534454fb185166c7738f6a4"/>
        </ext>
      </extLst>
    </tableColumn>
    <tableColumn id="8" xr3:uid="{00000000-0010-0000-0000-000008000000}" name="What can we improve?" dataDxfId="14" totalsRowDxfId="15">
      <extLst>
        <ext xmlns:xlmsforms="http://schemas.microsoft.com/office/spreadsheetml/2023/msForms" uri="{FCC71383-01E1-4257-9335-427F07BE8D7F}">
          <xlmsforms:question id="rdebcf20a48ff4ae1833746ae2d760766"/>
        </ext>
      </extLst>
    </tableColumn>
    <tableColumn id="9" xr3:uid="{00000000-0010-0000-0000-000009000000}" name="What do you usually order?" dataDxfId="12" totalsRowDxfId="13">
      <extLst>
        <ext xmlns:xlmsforms="http://schemas.microsoft.com/office/spreadsheetml/2023/msForms" uri="{FCC71383-01E1-4257-9335-427F07BE8D7F}">
          <xlmsforms:question id="r8d310d35f0b242eba5b786045b407302"/>
        </ext>
      </extLst>
    </tableColumn>
    <tableColumn id="10" xr3:uid="{00000000-0010-0000-0000-00000A000000}" name="How likely are you to return?" totalsRowLabel="=SUM(_x000a_COUNTIF([K2], “ likely”" dataDxfId="10" totalsRowDxfId="11">
      <extLst>
        <ext xmlns:xlmsforms="http://schemas.microsoft.com/office/spreadsheetml/2023/msForms" uri="{FCC71383-01E1-4257-9335-427F07BE8D7F}">
          <xlmsforms:question id="r8ba64b1b5cd0404daebe3c1fc169c240"/>
        </ext>
      </extLst>
    </tableColumn>
    <tableColumn id="11" xr3:uid="{00000000-0010-0000-0000-00000B000000}" name="How would you rate your overall experience?_x000a_" dataDxfId="8" totalsRowDxfId="9">
      <extLst>
        <ext xmlns:xlmsforms="http://schemas.microsoft.com/office/spreadsheetml/2023/msForms" uri="{FCC71383-01E1-4257-9335-427F07BE8D7F}">
          <xlmsforms:question id="rc517204de36e405baa423f51cdc4741a"/>
        </ext>
      </extLst>
    </tableColumn>
    <tableColumn id="12" xr3:uid="{00000000-0010-0000-0000-00000C000000}" name="Would you join a loyalty program?" dataDxfId="6" totalsRowDxfId="7">
      <extLst>
        <ext xmlns:xlmsforms="http://schemas.microsoft.com/office/spreadsheetml/2023/msForms" uri="{FCC71383-01E1-4257-9335-427F07BE8D7F}">
          <xlmsforms:question id="r92217ef206244709b158a91b8049ee2f"/>
        </ext>
      </extLst>
    </tableColumn>
    <tableColumn id="13" xr3:uid="{00000000-0010-0000-0000-00000D000000}" name="What rewards would you prefer?" dataDxfId="4" totalsRowDxfId="5">
      <extLst>
        <ext xmlns:xlmsforms="http://schemas.microsoft.com/office/spreadsheetml/2023/msForms" uri="{FCC71383-01E1-4257-9335-427F07BE8D7F}">
          <xlmsforms:question id="r9458487d8f274c5cbc17df0897e0185d"/>
        </ext>
      </extLst>
    </tableColumn>
    <tableColumn id="14" xr3:uid="{00000000-0010-0000-0000-00000E000000}" name="How would you like to receive rewards?" dataDxfId="2" totalsRowDxfId="3">
      <extLst>
        <ext xmlns:xlmsforms="http://schemas.microsoft.com/office/spreadsheetml/2023/msForms" uri="{FCC71383-01E1-4257-9335-427F07BE8D7F}">
          <xlmsforms:question id="r05768465034a48b5aed41cb0a84bce34"/>
        </ext>
      </extLst>
    </tableColumn>
    <tableColumn id="15" xr3:uid="{00000000-0010-0000-0000-00000F000000}" name="Enter your email for rewards updates." dataDxfId="0" totalsRowDxfId="1">
      <extLst>
        <ext xmlns:xlmsforms="http://schemas.microsoft.com/office/spreadsheetml/2023/msForms" uri="{FCC71383-01E1-4257-9335-427F07BE8D7F}">
          <xlmsforms:question id="rcc03179eb1374174838b82c6c546aae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_qUwA6YiS5Fqg95ZKxaZfRUOFdFNUdYMFMzT1lESzI3NVpQRjBOOE9ZQS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r35a75158adba4bfbb81015716e2ab786</xlmsforms:syncedQuestionId>
        <xlmsforms:syncedQuestionId>r0540b0f77534454fb185166c7738f6a4</xlmsforms:syncedQuestionId>
        <xlmsforms:syncedQuestionId>rdebcf20a48ff4ae1833746ae2d760766</xlmsforms:syncedQuestionId>
        <xlmsforms:syncedQuestionId>r8d310d35f0b242eba5b786045b407302</xlmsforms:syncedQuestionId>
        <xlmsforms:syncedQuestionId>r8ba64b1b5cd0404daebe3c1fc169c240</xlmsforms:syncedQuestionId>
        <xlmsforms:syncedQuestionId>rc517204de36e405baa423f51cdc4741a</xlmsforms:syncedQuestionId>
        <xlmsforms:syncedQuestionId>r92217ef206244709b158a91b8049ee2f</xlmsforms:syncedQuestionId>
        <xlmsforms:syncedQuestionId>r9458487d8f274c5cbc17df0897e0185d</xlmsforms:syncedQuestionId>
        <xlmsforms:syncedQuestionId>r05768465034a48b5aed41cb0a84bce34</xlmsforms:syncedQuestionId>
        <xlmsforms:syncedQuestionId>rcc03179eb1374174838b82c6c546aae2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>
      <selection activeCell="L8" sqref="L8"/>
    </sheetView>
  </sheetViews>
  <sheetFormatPr defaultRowHeight="15"/>
  <cols>
    <col min="1" max="1" width="20" bestFit="1" customWidth="1"/>
    <col min="2" max="2" width="23" style="1" customWidth="1"/>
    <col min="3" max="3" width="20" bestFit="1" customWidth="1"/>
    <col min="4" max="4" width="20" customWidth="1"/>
    <col min="5" max="16" width="20" bestFit="1" customWidth="1"/>
  </cols>
  <sheetData>
    <row r="1" spans="1:16">
      <c r="A1" t="s">
        <v>0</v>
      </c>
      <c r="B1" s="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>
        <v>46121.376527777778</v>
      </c>
      <c r="C2" s="3">
        <v>46121.377326388887</v>
      </c>
      <c r="D2" s="3">
        <f t="shared" ref="D2:D7" si="0">C2-B2</f>
        <v>7.9861110862111673E-4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4</v>
      </c>
      <c r="P2" t="s">
        <v>26</v>
      </c>
    </row>
    <row r="3" spans="1:16">
      <c r="A3">
        <v>2</v>
      </c>
      <c r="B3" s="1">
        <v>46121.391331018516</v>
      </c>
      <c r="C3" s="3">
        <v>46121.392743055556</v>
      </c>
      <c r="D3" s="3">
        <f t="shared" si="0"/>
        <v>1.4120370396994986E-3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33</v>
      </c>
      <c r="M3" t="s">
        <v>34</v>
      </c>
      <c r="N3" t="s">
        <v>25</v>
      </c>
      <c r="O3" t="s">
        <v>35</v>
      </c>
      <c r="P3" t="s">
        <v>36</v>
      </c>
    </row>
    <row r="4" spans="1:16">
      <c r="A4">
        <v>3</v>
      </c>
      <c r="B4" s="1">
        <v>46121.400902777779</v>
      </c>
      <c r="C4" s="3">
        <v>46121.403055555558</v>
      </c>
      <c r="D4" s="3">
        <f t="shared" si="0"/>
        <v>2.1527777789742686E-3</v>
      </c>
      <c r="E4" t="s">
        <v>37</v>
      </c>
      <c r="F4" t="s">
        <v>38</v>
      </c>
      <c r="G4" t="s">
        <v>18</v>
      </c>
      <c r="H4" t="s">
        <v>39</v>
      </c>
      <c r="I4" t="s">
        <v>40</v>
      </c>
      <c r="J4" t="s">
        <v>32</v>
      </c>
      <c r="K4" t="s">
        <v>41</v>
      </c>
      <c r="L4" t="s">
        <v>23</v>
      </c>
      <c r="M4" t="s">
        <v>24</v>
      </c>
      <c r="N4" t="s">
        <v>42</v>
      </c>
      <c r="O4" t="s">
        <v>35</v>
      </c>
      <c r="P4" t="s">
        <v>37</v>
      </c>
    </row>
    <row r="5" spans="1:16">
      <c r="A5">
        <v>4</v>
      </c>
      <c r="B5" s="1">
        <v>46121.413449074076</v>
      </c>
      <c r="C5" s="3">
        <v>46121.414027777777</v>
      </c>
      <c r="D5" s="3">
        <f t="shared" si="0"/>
        <v>5.7870370073942468E-4</v>
      </c>
      <c r="E5" t="s">
        <v>43</v>
      </c>
      <c r="F5" t="s">
        <v>44</v>
      </c>
      <c r="G5" t="s">
        <v>45</v>
      </c>
      <c r="H5" t="s">
        <v>46</v>
      </c>
      <c r="J5" t="s">
        <v>47</v>
      </c>
      <c r="K5" t="s">
        <v>41</v>
      </c>
      <c r="L5" t="s">
        <v>23</v>
      </c>
      <c r="M5" t="s">
        <v>24</v>
      </c>
      <c r="N5" t="s">
        <v>42</v>
      </c>
      <c r="O5" t="s">
        <v>35</v>
      </c>
    </row>
    <row r="6" spans="1:16">
      <c r="A6">
        <v>5</v>
      </c>
      <c r="B6" s="1">
        <v>46121.952268518522</v>
      </c>
      <c r="C6" s="3">
        <v>46121.953206018516</v>
      </c>
      <c r="D6" s="3">
        <f t="shared" si="0"/>
        <v>9.374999935971573E-4</v>
      </c>
      <c r="E6" t="s">
        <v>48</v>
      </c>
      <c r="F6" t="s">
        <v>49</v>
      </c>
      <c r="G6" t="s">
        <v>18</v>
      </c>
      <c r="H6" t="s">
        <v>50</v>
      </c>
      <c r="I6" t="s">
        <v>51</v>
      </c>
      <c r="J6" t="s">
        <v>21</v>
      </c>
      <c r="K6" t="s">
        <v>41</v>
      </c>
      <c r="L6" t="s">
        <v>23</v>
      </c>
      <c r="M6" t="s">
        <v>24</v>
      </c>
      <c r="N6" t="s">
        <v>25</v>
      </c>
      <c r="O6" t="s">
        <v>52</v>
      </c>
      <c r="P6" t="s">
        <v>48</v>
      </c>
    </row>
    <row r="7" spans="1:16">
      <c r="A7">
        <v>6</v>
      </c>
      <c r="B7" s="1">
        <v>46122.393182870372</v>
      </c>
      <c r="C7" s="3">
        <v>46122.394548611112</v>
      </c>
      <c r="D7" s="3">
        <f t="shared" si="0"/>
        <v>1.3657407398568466E-3</v>
      </c>
      <c r="E7" t="s">
        <v>53</v>
      </c>
      <c r="F7" t="s">
        <v>53</v>
      </c>
      <c r="G7" t="s">
        <v>29</v>
      </c>
      <c r="H7" t="s">
        <v>54</v>
      </c>
      <c r="I7" t="s">
        <v>55</v>
      </c>
      <c r="J7" t="s">
        <v>32</v>
      </c>
      <c r="K7" t="s">
        <v>22</v>
      </c>
      <c r="L7" t="s">
        <v>23</v>
      </c>
      <c r="M7" t="s">
        <v>56</v>
      </c>
      <c r="N7" t="s">
        <v>42</v>
      </c>
      <c r="O7" t="s">
        <v>35</v>
      </c>
    </row>
    <row r="8" spans="1:16" ht="27">
      <c r="C8" s="3"/>
      <c r="D8" s="3">
        <f>AVERAGE(D2,D7)</f>
        <v>1.0821759242389817E-3</v>
      </c>
      <c r="E8" s="2"/>
      <c r="F8" s="2"/>
      <c r="G8" s="2"/>
      <c r="H8" s="2"/>
      <c r="I8" s="2"/>
      <c r="J8" s="2"/>
      <c r="K8" s="5" t="s">
        <v>57</v>
      </c>
      <c r="L8" s="2"/>
      <c r="M8" s="2"/>
      <c r="N8" s="2"/>
      <c r="O8" s="2"/>
      <c r="P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6397-9C8E-40BF-9057-B21B166C2BF0}">
  <dimension ref="A1:A8"/>
  <sheetViews>
    <sheetView workbookViewId="0">
      <selection activeCell="A10" sqref="A10"/>
    </sheetView>
  </sheetViews>
  <sheetFormatPr defaultRowHeight="15"/>
  <cols>
    <col min="1" max="1" width="73.42578125" customWidth="1"/>
  </cols>
  <sheetData>
    <row r="1" spans="1:1">
      <c r="A1" s="4" t="s">
        <v>58</v>
      </c>
    </row>
    <row r="2" spans="1:1">
      <c r="A2" s="4" t="s">
        <v>59</v>
      </c>
    </row>
    <row r="3" spans="1:1">
      <c r="A3" s="4" t="s">
        <v>60</v>
      </c>
    </row>
    <row r="4" spans="1:1">
      <c r="A4" s="4" t="s">
        <v>61</v>
      </c>
    </row>
    <row r="5" spans="1:1">
      <c r="A5" s="4" t="s">
        <v>62</v>
      </c>
    </row>
    <row r="6" spans="1:1">
      <c r="A6" t="s">
        <v>63</v>
      </c>
    </row>
    <row r="7" spans="1:1">
      <c r="A7" t="s">
        <v>64</v>
      </c>
    </row>
    <row r="8" spans="1:1">
      <c r="A8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C164-84CC-4618-993A-9D7351BD7D90}">
  <dimension ref="A2:C15"/>
  <sheetViews>
    <sheetView tabSelected="1" topLeftCell="A2" workbookViewId="0">
      <selection activeCell="A2" sqref="A2:B15"/>
    </sheetView>
  </sheetViews>
  <sheetFormatPr defaultRowHeight="15"/>
  <cols>
    <col min="1" max="1" width="25.140625" bestFit="1" customWidth="1"/>
    <col min="2" max="2" width="30.85546875" bestFit="1" customWidth="1"/>
    <col min="3" max="3" width="9.5703125" bestFit="1" customWidth="1"/>
  </cols>
  <sheetData>
    <row r="2" spans="1:3">
      <c r="A2" s="6" t="s">
        <v>5</v>
      </c>
      <c r="B2" s="6" t="s">
        <v>10</v>
      </c>
      <c r="C2" t="s">
        <v>66</v>
      </c>
    </row>
    <row r="3" spans="1:3">
      <c r="A3" t="s">
        <v>38</v>
      </c>
      <c r="B3" t="s">
        <v>41</v>
      </c>
      <c r="C3" s="7">
        <v>3</v>
      </c>
    </row>
    <row r="4" spans="1:3">
      <c r="A4" t="s">
        <v>67</v>
      </c>
      <c r="C4" s="7">
        <v>3</v>
      </c>
    </row>
    <row r="5" spans="1:3">
      <c r="A5" t="s">
        <v>53</v>
      </c>
      <c r="B5" t="s">
        <v>22</v>
      </c>
      <c r="C5" s="7">
        <v>6</v>
      </c>
    </row>
    <row r="6" spans="1:3">
      <c r="A6" t="s">
        <v>68</v>
      </c>
      <c r="C6" s="7">
        <v>6</v>
      </c>
    </row>
    <row r="7" spans="1:3">
      <c r="A7" t="s">
        <v>28</v>
      </c>
      <c r="B7" t="s">
        <v>22</v>
      </c>
      <c r="C7" s="7">
        <v>2</v>
      </c>
    </row>
    <row r="8" spans="1:3">
      <c r="A8" t="s">
        <v>69</v>
      </c>
      <c r="C8" s="7">
        <v>2</v>
      </c>
    </row>
    <row r="9" spans="1:3">
      <c r="A9" t="s">
        <v>49</v>
      </c>
      <c r="B9" t="s">
        <v>41</v>
      </c>
      <c r="C9" s="7">
        <v>5</v>
      </c>
    </row>
    <row r="10" spans="1:3">
      <c r="A10" t="s">
        <v>70</v>
      </c>
      <c r="C10" s="7">
        <v>5</v>
      </c>
    </row>
    <row r="11" spans="1:3">
      <c r="A11" t="s">
        <v>44</v>
      </c>
      <c r="B11" t="s">
        <v>41</v>
      </c>
      <c r="C11" s="7">
        <v>4</v>
      </c>
    </row>
    <row r="12" spans="1:3">
      <c r="A12" t="s">
        <v>71</v>
      </c>
      <c r="C12" s="7">
        <v>4</v>
      </c>
    </row>
    <row r="13" spans="1:3">
      <c r="A13" t="s">
        <v>17</v>
      </c>
      <c r="B13" t="s">
        <v>22</v>
      </c>
      <c r="C13" s="7">
        <v>1</v>
      </c>
    </row>
    <row r="14" spans="1:3">
      <c r="A14" t="s">
        <v>72</v>
      </c>
      <c r="C14" s="7">
        <v>1</v>
      </c>
    </row>
    <row r="15" spans="1:3">
      <c r="A15" t="s">
        <v>73</v>
      </c>
      <c r="C15" s="7">
        <v>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2026-04-11T17:46:44Z</dcterms:created>
  <dcterms:modified xsi:type="dcterms:W3CDTF">2026-04-11T19:49:23Z</dcterms:modified>
  <cp:category/>
  <cp:contentStatus/>
</cp:coreProperties>
</file>